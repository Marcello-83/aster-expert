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veaux d'eau" sheetId="1" state="visible" r:id="rId3"/>
    <sheet name="Houle" sheetId="2" state="visible" r:id="rId4"/>
    <sheet name="Pressions par éta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<sst xmlns="http://schemas.openxmlformats.org/spreadsheetml/2006/main" count="213" uniqueCount="168">
  <si>
    <t xml:space="preserve">Pontons de Carro — référentiel unique des niveaux d'eau et des cotes de l'ouvrage</t>
  </si>
  <si>
    <t xml:space="preserve">Toutes les cotes en m CM96 et en m NGF. Conversion : NGF = CM − 0,329 (SHOM RAM 2020 ; AVP H §2.1.1 ; étude MS414803 §7.1). Cellules bleues : données sources.</t>
  </si>
  <si>
    <t xml:space="preserve">0 m CM96 en m NGF</t>
  </si>
  <si>
    <t xml:space="preserve">SHOM RAM 2020</t>
  </si>
  <si>
    <t xml:space="preserve">Désignation</t>
  </si>
  <si>
    <t xml:space="preserve">Symbole</t>
  </si>
  <si>
    <t xml:space="preserve">m CM96</t>
  </si>
  <si>
    <t xml:space="preserve">m NGF</t>
  </si>
  <si>
    <t xml:space="preserve">Composition</t>
  </si>
  <si>
    <t xml:space="preserve">Source</t>
  </si>
  <si>
    <t xml:space="preserve">Plus haute mer astronomique — actuel</t>
  </si>
  <si>
    <t xml:space="preserve">PHMA</t>
  </si>
  <si>
    <t xml:space="preserve">AVP H tab. 3 ; MS414803 §7.1</t>
  </si>
  <si>
    <t xml:space="preserve">Niveau moyen — actuel</t>
  </si>
  <si>
    <t xml:space="preserve">NM</t>
  </si>
  <si>
    <t xml:space="preserve">Plus basse mer astronomique — actuel</t>
  </si>
  <si>
    <t xml:space="preserve">PBMA</t>
  </si>
  <si>
    <t xml:space="preserve">Aléa de référence changement climatique</t>
  </si>
  <si>
    <t xml:space="preserve">cc</t>
  </si>
  <si>
    <t xml:space="preserve">intégré aux niveaux de période de retour &gt; 1 an ; écart : même valeur en CM et en NGF</t>
  </si>
  <si>
    <t xml:space="preserve">AVP H §2.1.2 (circulaire 27/07/2011)</t>
  </si>
  <si>
    <t xml:space="preserve">Plus haute mer astronomique — 2050</t>
  </si>
  <si>
    <t xml:space="preserve">PHMA 2050</t>
  </si>
  <si>
    <t xml:space="preserve">PHMA + cc</t>
  </si>
  <si>
    <t xml:space="preserve">AVP H tab. 4</t>
  </si>
  <si>
    <t xml:space="preserve">Niveau moyen — 2050</t>
  </si>
  <si>
    <t xml:space="preserve">NM 2050</t>
  </si>
  <si>
    <t xml:space="preserve">NM + cc</t>
  </si>
  <si>
    <t xml:space="preserve">Plus basse mer astronomique — 2050</t>
  </si>
  <si>
    <t xml:space="preserve">PBMA 2050</t>
  </si>
  <si>
    <t xml:space="preserve">PBMA + cc</t>
  </si>
  <si>
    <t xml:space="preserve">Surcote météorologique 5 ans</t>
  </si>
  <si>
    <t xml:space="preserve">S5</t>
  </si>
  <si>
    <t xml:space="preserve">écart : même valeur en CM et en NGF</t>
  </si>
  <si>
    <t xml:space="preserve">AVP H §2.1.1, CETMEF Marseille [DR06]</t>
  </si>
  <si>
    <t xml:space="preserve">Surcote météorologique 10 ans</t>
  </si>
  <si>
    <t xml:space="preserve">S10</t>
  </si>
  <si>
    <t xml:space="preserve">idem</t>
  </si>
  <si>
    <t xml:space="preserve">Surcote météorologique 20 ans</t>
  </si>
  <si>
    <t xml:space="preserve">S20</t>
  </si>
  <si>
    <t xml:space="preserve">Surcote météorologique 50 ans</t>
  </si>
  <si>
    <t xml:space="preserve">S50</t>
  </si>
  <si>
    <t xml:space="preserve">Niveau de projet 5 ans</t>
  </si>
  <si>
    <t xml:space="preserve">N5</t>
  </si>
  <si>
    <t xml:space="preserve">NM actuel + S5 + cc</t>
  </si>
  <si>
    <t xml:space="preserve">AVP H tab. 5 (1,45)</t>
  </si>
  <si>
    <t xml:space="preserve">Niveau de projet 10 ans</t>
  </si>
  <si>
    <t xml:space="preserve">N10</t>
  </si>
  <si>
    <t xml:space="preserve">NM actuel + S10 + cc</t>
  </si>
  <si>
    <t xml:space="preserve">AVP H tab. 5 (1,54)</t>
  </si>
  <si>
    <t xml:space="preserve">Niveau de projet 20 ans</t>
  </si>
  <si>
    <t xml:space="preserve">N20</t>
  </si>
  <si>
    <t xml:space="preserve">NM actuel + S20 + cc</t>
  </si>
  <si>
    <t xml:space="preserve">AVP H tab. 5 (1,62)</t>
  </si>
  <si>
    <t xml:space="preserve">Niveau de projet 50 ans</t>
  </si>
  <si>
    <t xml:space="preserve">N50</t>
  </si>
  <si>
    <t xml:space="preserve">NM actuel + S50 + cc</t>
  </si>
  <si>
    <t xml:space="preserve">AVP H tab. 5 (1,73)</t>
  </si>
  <si>
    <t xml:space="preserve">Niveau d'eau le plus élevé</t>
  </si>
  <si>
    <t xml:space="preserve">NPHE</t>
  </si>
  <si>
    <t xml:space="preserve">PHMA actuel + S50 + cc (marée haute et surcote 50 ans concomitantes)</t>
  </si>
  <si>
    <t xml:space="preserve">AVP H §2.1.3 (1,94)</t>
  </si>
  <si>
    <t xml:space="preserve">Cotes de l'ouvrage (projet PRO aux cotes AVP)</t>
  </si>
  <si>
    <t xml:space="preserve">Élément</t>
  </si>
  <si>
    <t xml:space="preserve">Situation vis-à-vis de l'eau</t>
  </si>
  <si>
    <t xml:space="preserve">Quai actuel</t>
  </si>
  <si>
    <t xml:space="preserve">AVP p. 15/96</t>
  </si>
  <si>
    <t xml:space="preserve">Dessus du platelage (fini)</t>
  </si>
  <si>
    <t xml:space="preserve">+1,40 + planches 45 mm (hypothèse)</t>
  </si>
  <si>
    <t xml:space="preserve">Dessus des poutres et des pannes (pose du platelage)</t>
  </si>
  <si>
    <t xml:space="preserve">AVP p. 15/96 : arase supérieure du tablier, décision MM</t>
  </si>
  <si>
    <t xml:space="preserve">Sous-face des pannes 50×50</t>
  </si>
  <si>
    <t xml:space="preserve">Sous-face des poutres 200×200</t>
  </si>
  <si>
    <t xml:space="preserve">Axe des appuis articulés</t>
  </si>
  <si>
    <t xml:space="preserve">P54</t>
  </si>
  <si>
    <t xml:space="preserve">Dessus du chevêtre</t>
  </si>
  <si>
    <t xml:space="preserve">AVP</t>
  </si>
  <si>
    <t xml:space="preserve">Arase inférieure du chevêtre (têtes de piles)</t>
  </si>
  <si>
    <t xml:space="preserve">Dessus de semelle, palée P1 (pile 1,30 m)</t>
  </si>
  <si>
    <t xml:space="preserve">diagnostic Sixense, annexe 2</t>
  </si>
  <si>
    <t xml:space="preserve">Fond, palée P1</t>
  </si>
  <si>
    <t xml:space="preserve">semelle 0,20 m</t>
  </si>
  <si>
    <t xml:space="preserve">Dessus de semelle, palée P5 (pile 3,90 m)</t>
  </si>
  <si>
    <t xml:space="preserve">Fond, palée P5</t>
  </si>
  <si>
    <t xml:space="preserve">Lecture : le dessus des poutres (+1,40 NGF = +1,729 CM) est au niveau de projet 50 ans (+1,73 CM). La sous-face des poutres (+1,20 NGF = +1,529 CM) est atteinte en statique dès le niveau 10 ans, avant toute houle.</t>
  </si>
  <si>
    <t xml:space="preserve">Le chevêtre (+0,69 à +1,09 NGF = +1,019 à +1,419 CM) est hors d'eau à la PHMA 2050 (+0,90 CM) et immergé dès le niveau 5 ans (+1,45 CM). Piles et semelles sont immergées au niveau moyen.</t>
  </si>
  <si>
    <t xml:space="preserve">Données de houle — étude MS414803 (juin 2021), port de Carro, zone 2 (plaisance)</t>
  </si>
  <si>
    <t xml:space="preserve">ARTEMIS, configuration actuelle, niveau PHMA (NM + 0,21 m), sans mer de vent locale. Hs moyen sur la zone 2.</t>
  </si>
  <si>
    <t xml:space="preserve">Grandeur</t>
  </si>
  <si>
    <t xml:space="preserve">0,1 an (courant)</t>
  </si>
  <si>
    <t xml:space="preserve">1 an</t>
  </si>
  <si>
    <t xml:space="preserve">5 ans</t>
  </si>
  <si>
    <t xml:space="preserve">50 ans</t>
  </si>
  <si>
    <t xml:space="preserve">Source / commentaire</t>
  </si>
  <si>
    <t xml:space="preserve">Hs zone 2, secteur E (m)</t>
  </si>
  <si>
    <t xml:space="preserve">MS414803 tab. 8 ; 50 ans EXTRAPOLÉ au prorata de la houle du large (indicatif)</t>
  </si>
  <si>
    <t xml:space="preserve">Tp en approche, secteur E (s)</t>
  </si>
  <si>
    <t xml:space="preserve">MS414803 tab. 5</t>
  </si>
  <si>
    <t xml:space="preserve">Hm0 au large, secteur E (m)</t>
  </si>
  <si>
    <t xml:space="preserve">MS414803 tab. 3 (ANEMOC-2, jugé surestimé pour les secteurs S à E, §7.5.2.3)</t>
  </si>
  <si>
    <t xml:space="preserve">Limites : Hs 50 ans en zone 2 non fourni par l'étude (extrapolation) ; vagues de vent locales non modélisées ; étude réalisée au niveau PHMA, pas aux niveaux de tempête.</t>
  </si>
  <si>
    <t xml:space="preserve">Valeurs représentatives de l'action de la houle sur le tablier (EN 1990 : caractéristique = période de retour 50 ans)</t>
  </si>
  <si>
    <t xml:space="preserve">Méthode quasi statique : sous la crête, pression ρg·(η − z) sur chaque surface pleine, à sa cote. Crête η = niveau + κ·Hmax, Hmax = min(1,8 Hs ; 0,78 d).</t>
  </si>
  <si>
    <t xml:space="preserve">Paramètre</t>
  </si>
  <si>
    <t xml:space="preserve">Valeur</t>
  </si>
  <si>
    <t xml:space="preserve">Unité</t>
  </si>
  <si>
    <t xml:space="preserve">ρg</t>
  </si>
  <si>
    <t xml:space="preserve">kN/m³</t>
  </si>
  <si>
    <t xml:space="preserve">eau de mer 1025 kg/m³</t>
  </si>
  <si>
    <t xml:space="preserve">Hmax/Hs</t>
  </si>
  <si>
    <t xml:space="preserve">-</t>
  </si>
  <si>
    <t xml:space="preserve">Rayleigh</t>
  </si>
  <si>
    <t xml:space="preserve">H/d déferlement</t>
  </si>
  <si>
    <t xml:space="preserve">usuel</t>
  </si>
  <si>
    <t xml:space="preserve">κ = crête / Hmax</t>
  </si>
  <si>
    <t xml:space="preserve">hypothèse (houle longue en faible profondeur)</t>
  </si>
  <si>
    <t xml:space="preserve">Largeur sous tubes</t>
  </si>
  <si>
    <t xml:space="preserve">m</t>
  </si>
  <si>
    <t xml:space="preserve">2 × 0,20</t>
  </si>
  <si>
    <t xml:space="preserve">Largeur sous pannes</t>
  </si>
  <si>
    <t xml:space="preserve">4 × 0,05</t>
  </si>
  <si>
    <t xml:space="preserve">Largeur sous planches</t>
  </si>
  <si>
    <t xml:space="preserve">joints de 8 mm déduits</t>
  </si>
  <si>
    <t xml:space="preserve">Largeur dessus platelage</t>
  </si>
  <si>
    <t xml:space="preserve">État / scénario</t>
  </si>
  <si>
    <t xml:space="preserve">Palée</t>
  </si>
  <si>
    <t xml:space="preserve">Niveau (m NGF)</t>
  </si>
  <si>
    <t xml:space="preserve">Hs (m)</t>
  </si>
  <si>
    <t xml:space="preserve">Fond (m NGF)</t>
  </si>
  <si>
    <t xml:space="preserve">d (m)</t>
  </si>
  <si>
    <t xml:space="preserve">Hmax (m)</t>
  </si>
  <si>
    <t xml:space="preserve">Crête (m NGF)</t>
  </si>
  <si>
    <t xml:space="preserve">p tubes (kPa)</t>
  </si>
  <si>
    <t xml:space="preserve">p pannes (kPa)</t>
  </si>
  <si>
    <t xml:space="preserve">p planches (kPa)</t>
  </si>
  <si>
    <t xml:space="preserve">q montante (kN/m)</t>
  </si>
  <si>
    <t xml:space="preserve">équiv. 2 m (kPa)</t>
  </si>
  <si>
    <t xml:space="preserve">p descendante (kPa)</t>
  </si>
  <si>
    <t xml:space="preserve">Retenu</t>
  </si>
  <si>
    <t xml:space="preserve">QP : NM 2050 + Hs courant</t>
  </si>
  <si>
    <t xml:space="preserve">P1</t>
  </si>
  <si>
    <t xml:space="preserve">quasi permanent</t>
  </si>
  <si>
    <t xml:space="preserve">P5</t>
  </si>
  <si>
    <t xml:space="preserve">Fréquent : PHMA 2050 + Hs 1 an</t>
  </si>
  <si>
    <t xml:space="preserve">fréquent</t>
  </si>
  <si>
    <t xml:space="preserve">Caract. a : niveau 50 ans + Hs 5 ans</t>
  </si>
  <si>
    <t xml:space="preserve">Caract. b : niveau 5 ans + Hs 50 ans (extrapolé)</t>
  </si>
  <si>
    <t xml:space="preserve">Info : niveau le plus élevé + Hs 5 ans</t>
  </si>
  <si>
    <t xml:space="preserve">sensibilité</t>
  </si>
  <si>
    <t xml:space="preserve">Coefficients des cas unitaires de 1 kPa pour le lot 51 ter (valeurs sans γ)</t>
  </si>
  <si>
    <t xml:space="preserve">Événement</t>
  </si>
  <si>
    <t xml:space="preserve">HU_TUBES</t>
  </si>
  <si>
    <t xml:space="preserve">HU_PANNES</t>
  </si>
  <si>
    <t xml:space="preserve">HU_PLATELAGE</t>
  </si>
  <si>
    <t xml:space="preserve">HD_TABLIER</t>
  </si>
  <si>
    <t xml:space="preserve">Usage</t>
  </si>
  <si>
    <t xml:space="preserve">HU (caractéristique)</t>
  </si>
  <si>
    <t xml:space="preserve">P1 (variantes C)</t>
  </si>
  <si>
    <t xml:space="preserve">ELU (× γ), ELS caractéristique</t>
  </si>
  <si>
    <t xml:space="preserve">P5 (variantes P)</t>
  </si>
  <si>
    <t xml:space="preserve">HU_F (fréquent)</t>
  </si>
  <si>
    <t xml:space="preserve">ELS fréquent (dominante houle)</t>
  </si>
  <si>
    <t xml:space="preserve">Quasi permanent</t>
  </si>
  <si>
    <t xml:space="preserve">P1 et P5</t>
  </si>
  <si>
    <t xml:space="preserve">pas de contact</t>
  </si>
  <si>
    <t xml:space="preserve">Lecture : en caractéristique (50 ans), la sous-pression équivaut à 11,6 kPa (P1) et 12,5 kPa (P5), soit 2,3 à 2,5 fois le forfait AVP de 5 kPa. En fréquent, elle reste faible (0,4 à 0,8 kPa) ; en quasi permanent, la houle ne touche pas le tablier.</t>
  </si>
  <si>
    <t xml:space="preserve">La méthode quasi statique est une borne haute pour un tablier étroit envahi rapidement par les rives. La réduire demande une méthode dédiée (HR Wallingford, McConnell et al. 2004) ou un essai.</t>
  </si>
  <si>
    <t xml:space="preserve">Ordre de grandeur palée courte : soulèvement caractéristique ≈ 23 kN/m × 7,77 m ≈ 180 kN contre ≈ 80 kN de poids déjaugé : ancrage indispensable, de l'ordre de 100 kN à l'ELS caractéristique et 200 kN à l'ELU par palée.</t>
  </si>
</sst>
</file>

<file path=xl/styles.xml><?xml version="1.0" encoding="utf-8"?>
<styleSheet xmlns="http://schemas.openxmlformats.org/spreadsheetml/2006/main">
  <numFmts count="3">
    <numFmt numFmtId="164" formatCode="General"/>
    <numFmt numFmtId="165" formatCode="0.000"/>
    <numFmt numFmtId="166" formatCode="0.00"/>
  </numFmts>
  <fonts count="8">
    <font>
      <sz val="11"/>
      <color theme="1"/>
      <name val="Calibri"/>
      <family val="2"/>
      <charset val="1"/>
    </font>
    <font>
      <sz val="10"/>
      <name val="Arial"/>
      <family val="0"/>
    </font>
    <font>
      <sz val="10"/>
      <name val="Arial"/>
      <family val="0"/>
    </font>
    <font>
      <sz val="10"/>
      <name val="Arial"/>
      <family val="0"/>
    </font>
    <font>
      <b val="true"/>
      <sz val="12"/>
      <color rgb="FF000000"/>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s>
  <fills count="3">
    <fill>
      <patternFill patternType="none"/>
    </fill>
    <fill>
      <patternFill patternType="gray125"/>
    </fill>
    <fill>
      <patternFill patternType="solid">
        <fgColor rgb="FFD9D9D9"/>
        <bgColor rgb="FFC0C0C0"/>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2"/>
    <col collapsed="false" customWidth="true" hidden="false" outlineLevel="0" max="4" min="4" style="0" width="30"/>
    <col collapsed="false" customWidth="true" hidden="false" outlineLevel="0" max="5" min="5" style="0" width="44"/>
    <col collapsed="false" customWidth="true" hidden="false" outlineLevel="0" max="6" min="6" style="0" width="4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4" t="n">
        <v>-0.329</v>
      </c>
      <c r="C3" s="5" t="s">
        <v>3</v>
      </c>
    </row>
    <row r="5" customFormat="false" ht="15" hidden="false" customHeight="false" outlineLevel="0" collapsed="false">
      <c r="A5" s="6" t="s">
        <v>4</v>
      </c>
      <c r="B5" s="6" t="s">
        <v>5</v>
      </c>
      <c r="C5" s="6" t="s">
        <v>6</v>
      </c>
      <c r="D5" s="6" t="s">
        <v>7</v>
      </c>
      <c r="E5" s="6" t="s">
        <v>8</v>
      </c>
      <c r="F5" s="6" t="s">
        <v>9</v>
      </c>
    </row>
    <row r="6" customFormat="false" ht="15" hidden="false" customHeight="false" outlineLevel="0" collapsed="false">
      <c r="A6" s="5" t="s">
        <v>10</v>
      </c>
      <c r="B6" s="5" t="s">
        <v>11</v>
      </c>
      <c r="C6" s="4" t="n">
        <v>0.7</v>
      </c>
      <c r="D6" s="7" t="n">
        <f aca="false">C6+$B$3</f>
        <v>0.371</v>
      </c>
      <c r="E6" s="8"/>
      <c r="F6" s="5" t="s">
        <v>12</v>
      </c>
    </row>
    <row r="7" customFormat="false" ht="15" hidden="false" customHeight="false" outlineLevel="0" collapsed="false">
      <c r="A7" s="5" t="s">
        <v>13</v>
      </c>
      <c r="B7" s="5" t="s">
        <v>14</v>
      </c>
      <c r="C7" s="4" t="n">
        <v>0.49</v>
      </c>
      <c r="D7" s="7" t="n">
        <f aca="false">C7+$B$3</f>
        <v>0.161</v>
      </c>
      <c r="E7" s="8"/>
      <c r="F7" s="5" t="s">
        <v>12</v>
      </c>
    </row>
    <row r="8" customFormat="false" ht="15" hidden="false" customHeight="false" outlineLevel="0" collapsed="false">
      <c r="A8" s="5" t="s">
        <v>15</v>
      </c>
      <c r="B8" s="5" t="s">
        <v>16</v>
      </c>
      <c r="C8" s="4" t="n">
        <v>0.27</v>
      </c>
      <c r="D8" s="7" t="n">
        <f aca="false">C8+$B$3</f>
        <v>-0.059</v>
      </c>
      <c r="E8" s="8"/>
      <c r="F8" s="5" t="s">
        <v>12</v>
      </c>
    </row>
    <row r="9" customFormat="false" ht="23.85" hidden="false" customHeight="false" outlineLevel="0" collapsed="false">
      <c r="A9" s="5" t="s">
        <v>17</v>
      </c>
      <c r="B9" s="5" t="s">
        <v>18</v>
      </c>
      <c r="C9" s="4" t="n">
        <v>0.2</v>
      </c>
      <c r="D9" s="7" t="n">
        <f aca="false">C9</f>
        <v>0.2</v>
      </c>
      <c r="E9" s="8" t="s">
        <v>19</v>
      </c>
      <c r="F9" s="5" t="s">
        <v>20</v>
      </c>
    </row>
    <row r="10" customFormat="false" ht="15" hidden="false" customHeight="false" outlineLevel="0" collapsed="false">
      <c r="A10" s="5" t="s">
        <v>21</v>
      </c>
      <c r="B10" s="5" t="s">
        <v>22</v>
      </c>
      <c r="C10" s="7" t="n">
        <f aca="false">C6+C9</f>
        <v>0.9</v>
      </c>
      <c r="D10" s="7" t="n">
        <f aca="false">C10+$B$3</f>
        <v>0.571</v>
      </c>
      <c r="E10" s="8" t="s">
        <v>23</v>
      </c>
      <c r="F10" s="5" t="s">
        <v>24</v>
      </c>
    </row>
    <row r="11" customFormat="false" ht="15" hidden="false" customHeight="false" outlineLevel="0" collapsed="false">
      <c r="A11" s="5" t="s">
        <v>25</v>
      </c>
      <c r="B11" s="5" t="s">
        <v>26</v>
      </c>
      <c r="C11" s="7" t="n">
        <f aca="false">C7+C9</f>
        <v>0.69</v>
      </c>
      <c r="D11" s="7" t="n">
        <f aca="false">C11+$B$3</f>
        <v>0.361</v>
      </c>
      <c r="E11" s="8" t="s">
        <v>27</v>
      </c>
      <c r="F11" s="5" t="s">
        <v>24</v>
      </c>
    </row>
    <row r="12" customFormat="false" ht="15" hidden="false" customHeight="false" outlineLevel="0" collapsed="false">
      <c r="A12" s="5" t="s">
        <v>28</v>
      </c>
      <c r="B12" s="5" t="s">
        <v>29</v>
      </c>
      <c r="C12" s="7" t="n">
        <f aca="false">C8+C9</f>
        <v>0.47</v>
      </c>
      <c r="D12" s="7" t="n">
        <f aca="false">C12+$B$3</f>
        <v>0.141</v>
      </c>
      <c r="E12" s="8" t="s">
        <v>30</v>
      </c>
      <c r="F12" s="5" t="s">
        <v>24</v>
      </c>
    </row>
    <row r="13" customFormat="false" ht="15" hidden="false" customHeight="false" outlineLevel="0" collapsed="false">
      <c r="A13" s="5" t="s">
        <v>31</v>
      </c>
      <c r="B13" s="5" t="s">
        <v>32</v>
      </c>
      <c r="C13" s="4" t="n">
        <v>0.76</v>
      </c>
      <c r="D13" s="7" t="n">
        <f aca="false">C13</f>
        <v>0.76</v>
      </c>
      <c r="E13" s="8" t="s">
        <v>33</v>
      </c>
      <c r="F13" s="5" t="s">
        <v>34</v>
      </c>
    </row>
    <row r="14" customFormat="false" ht="15" hidden="false" customHeight="false" outlineLevel="0" collapsed="false">
      <c r="A14" s="5" t="s">
        <v>35</v>
      </c>
      <c r="B14" s="5" t="s">
        <v>36</v>
      </c>
      <c r="C14" s="4" t="n">
        <v>0.85</v>
      </c>
      <c r="D14" s="7" t="n">
        <f aca="false">C14</f>
        <v>0.85</v>
      </c>
      <c r="E14" s="8" t="s">
        <v>33</v>
      </c>
      <c r="F14" s="5" t="s">
        <v>37</v>
      </c>
    </row>
    <row r="15" customFormat="false" ht="15" hidden="false" customHeight="false" outlineLevel="0" collapsed="false">
      <c r="A15" s="5" t="s">
        <v>38</v>
      </c>
      <c r="B15" s="5" t="s">
        <v>39</v>
      </c>
      <c r="C15" s="4" t="n">
        <v>0.93</v>
      </c>
      <c r="D15" s="7" t="n">
        <f aca="false">C15</f>
        <v>0.93</v>
      </c>
      <c r="E15" s="8" t="s">
        <v>33</v>
      </c>
      <c r="F15" s="5" t="s">
        <v>37</v>
      </c>
    </row>
    <row r="16" customFormat="false" ht="15" hidden="false" customHeight="false" outlineLevel="0" collapsed="false">
      <c r="A16" s="5" t="s">
        <v>40</v>
      </c>
      <c r="B16" s="5" t="s">
        <v>41</v>
      </c>
      <c r="C16" s="4" t="n">
        <v>1.04</v>
      </c>
      <c r="D16" s="7" t="n">
        <f aca="false">C16</f>
        <v>1.04</v>
      </c>
      <c r="E16" s="8" t="s">
        <v>33</v>
      </c>
      <c r="F16" s="5" t="s">
        <v>37</v>
      </c>
    </row>
    <row r="17" customFormat="false" ht="15" hidden="false" customHeight="false" outlineLevel="0" collapsed="false">
      <c r="A17" s="5" t="s">
        <v>42</v>
      </c>
      <c r="B17" s="5" t="s">
        <v>43</v>
      </c>
      <c r="C17" s="7" t="n">
        <f aca="false">C7+C13+C9</f>
        <v>1.45</v>
      </c>
      <c r="D17" s="7" t="n">
        <f aca="false">C17+$B$3</f>
        <v>1.121</v>
      </c>
      <c r="E17" s="8" t="s">
        <v>44</v>
      </c>
      <c r="F17" s="5" t="s">
        <v>45</v>
      </c>
    </row>
    <row r="18" customFormat="false" ht="15" hidden="false" customHeight="false" outlineLevel="0" collapsed="false">
      <c r="A18" s="5" t="s">
        <v>46</v>
      </c>
      <c r="B18" s="5" t="s">
        <v>47</v>
      </c>
      <c r="C18" s="7" t="n">
        <f aca="false">C7+C14+C9</f>
        <v>1.54</v>
      </c>
      <c r="D18" s="7" t="n">
        <f aca="false">C18+$B$3</f>
        <v>1.211</v>
      </c>
      <c r="E18" s="8" t="s">
        <v>48</v>
      </c>
      <c r="F18" s="5" t="s">
        <v>49</v>
      </c>
    </row>
    <row r="19" customFormat="false" ht="15" hidden="false" customHeight="false" outlineLevel="0" collapsed="false">
      <c r="A19" s="5" t="s">
        <v>50</v>
      </c>
      <c r="B19" s="5" t="s">
        <v>51</v>
      </c>
      <c r="C19" s="7" t="n">
        <f aca="false">C7+C15+C9</f>
        <v>1.62</v>
      </c>
      <c r="D19" s="7" t="n">
        <f aca="false">C19+$B$3</f>
        <v>1.291</v>
      </c>
      <c r="E19" s="8" t="s">
        <v>52</v>
      </c>
      <c r="F19" s="5" t="s">
        <v>53</v>
      </c>
    </row>
    <row r="20" customFormat="false" ht="15" hidden="false" customHeight="false" outlineLevel="0" collapsed="false">
      <c r="A20" s="5" t="s">
        <v>54</v>
      </c>
      <c r="B20" s="5" t="s">
        <v>55</v>
      </c>
      <c r="C20" s="7" t="n">
        <f aca="false">C7+C16+C9</f>
        <v>1.73</v>
      </c>
      <c r="D20" s="7" t="n">
        <f aca="false">C20+$B$3</f>
        <v>1.401</v>
      </c>
      <c r="E20" s="8" t="s">
        <v>56</v>
      </c>
      <c r="F20" s="5" t="s">
        <v>57</v>
      </c>
    </row>
    <row r="21" customFormat="false" ht="23.85" hidden="false" customHeight="false" outlineLevel="0" collapsed="false">
      <c r="A21" s="5" t="s">
        <v>58</v>
      </c>
      <c r="B21" s="5" t="s">
        <v>59</v>
      </c>
      <c r="C21" s="7" t="n">
        <f aca="false">C6+C16+C9</f>
        <v>1.94</v>
      </c>
      <c r="D21" s="7" t="n">
        <f aca="false">C21+$B$3</f>
        <v>1.611</v>
      </c>
      <c r="E21" s="8" t="s">
        <v>60</v>
      </c>
      <c r="F21" s="5" t="s">
        <v>61</v>
      </c>
    </row>
    <row r="23" customFormat="false" ht="15" hidden="false" customHeight="false" outlineLevel="0" collapsed="false">
      <c r="A23" s="9" t="s">
        <v>62</v>
      </c>
    </row>
    <row r="24" customFormat="false" ht="15" hidden="false" customHeight="false" outlineLevel="0" collapsed="false">
      <c r="A24" s="6" t="s">
        <v>63</v>
      </c>
      <c r="B24" s="6" t="s">
        <v>7</v>
      </c>
      <c r="C24" s="6" t="s">
        <v>6</v>
      </c>
      <c r="D24" s="6" t="s">
        <v>64</v>
      </c>
      <c r="E24" s="6" t="s">
        <v>9</v>
      </c>
    </row>
    <row r="25" customFormat="false" ht="15" hidden="false" customHeight="false" outlineLevel="0" collapsed="false">
      <c r="A25" s="5" t="s">
        <v>65</v>
      </c>
      <c r="B25" s="4" t="n">
        <v>0.9</v>
      </c>
      <c r="C25" s="7" t="n">
        <f aca="false">B25-$B$3</f>
        <v>1.229</v>
      </c>
      <c r="D25" s="8" t="str">
        <f aca="false">IF(C25&lt;=$C$12,"toujours immergé",IF(C25&lt;=$C$11,"immergé au niveau moyen 2050",IF(C25&lt;=$C$10,"atteint à la PHMA 2050",IF(C25&lt;=$C$17,"atteint par le niveau 5 ans",IF(C25&lt;=$C$18,"atteint par le niveau 10 ans",IF(C25&lt;=$C$19,"atteint par le niveau 20 ans",IF(C25&lt;=$C$20,"atteint par le niveau 50 ans",IF(C25&lt;=$C$21,"atteint par le niveau le plus élevé","hors d'eau statique"))))))))</f>
        <v>atteint par le niveau 5 ans</v>
      </c>
      <c r="E25" s="5" t="s">
        <v>66</v>
      </c>
    </row>
    <row r="26" customFormat="false" ht="15" hidden="false" customHeight="false" outlineLevel="0" collapsed="false">
      <c r="A26" s="5" t="s">
        <v>67</v>
      </c>
      <c r="B26" s="4" t="n">
        <v>1.445</v>
      </c>
      <c r="C26" s="7" t="n">
        <f aca="false">B26-$B$3</f>
        <v>1.774</v>
      </c>
      <c r="D26" s="8" t="str">
        <f aca="false">IF(C26&lt;=$C$12,"toujours immergé",IF(C26&lt;=$C$11,"immergé au niveau moyen 2050",IF(C26&lt;=$C$10,"atteint à la PHMA 2050",IF(C26&lt;=$C$17,"atteint par le niveau 5 ans",IF(C26&lt;=$C$18,"atteint par le niveau 10 ans",IF(C26&lt;=$C$19,"atteint par le niveau 20 ans",IF(C26&lt;=$C$20,"atteint par le niveau 50 ans",IF(C26&lt;=$C$21,"atteint par le niveau le plus élevé","hors d'eau statique"))))))))</f>
        <v>atteint par le niveau le plus élevé</v>
      </c>
      <c r="E26" s="5" t="s">
        <v>68</v>
      </c>
    </row>
    <row r="27" customFormat="false" ht="15" hidden="false" customHeight="false" outlineLevel="0" collapsed="false">
      <c r="A27" s="5" t="s">
        <v>69</v>
      </c>
      <c r="B27" s="4" t="n">
        <v>1.4</v>
      </c>
      <c r="C27" s="7" t="n">
        <f aca="false">B27-$B$3</f>
        <v>1.729</v>
      </c>
      <c r="D27" s="8" t="str">
        <f aca="false">IF(C27&lt;=$C$12,"toujours immergé",IF(C27&lt;=$C$11,"immergé au niveau moyen 2050",IF(C27&lt;=$C$10,"atteint à la PHMA 2050",IF(C27&lt;=$C$17,"atteint par le niveau 5 ans",IF(C27&lt;=$C$18,"atteint par le niveau 10 ans",IF(C27&lt;=$C$19,"atteint par le niveau 20 ans",IF(C27&lt;=$C$20,"atteint par le niveau 50 ans",IF(C27&lt;=$C$21,"atteint par le niveau le plus élevé","hors d'eau statique"))))))))</f>
        <v>atteint par le niveau 50 ans</v>
      </c>
      <c r="E27" s="5" t="s">
        <v>70</v>
      </c>
    </row>
    <row r="28" customFormat="false" ht="15" hidden="false" customHeight="false" outlineLevel="0" collapsed="false">
      <c r="A28" s="5" t="s">
        <v>71</v>
      </c>
      <c r="B28" s="4" t="n">
        <v>1.35</v>
      </c>
      <c r="C28" s="7" t="n">
        <f aca="false">B28-$B$3</f>
        <v>1.679</v>
      </c>
      <c r="D28" s="8" t="str">
        <f aca="false">IF(C28&lt;=$C$12,"toujours immergé",IF(C28&lt;=$C$11,"immergé au niveau moyen 2050",IF(C28&lt;=$C$10,"atteint à la PHMA 2050",IF(C28&lt;=$C$17,"atteint par le niveau 5 ans",IF(C28&lt;=$C$18,"atteint par le niveau 10 ans",IF(C28&lt;=$C$19,"atteint par le niveau 20 ans",IF(C28&lt;=$C$20,"atteint par le niveau 50 ans",IF(C28&lt;=$C$21,"atteint par le niveau le plus élevé","hors d'eau statique"))))))))</f>
        <v>atteint par le niveau 50 ans</v>
      </c>
      <c r="E28" s="5"/>
    </row>
    <row r="29" customFormat="false" ht="15" hidden="false" customHeight="false" outlineLevel="0" collapsed="false">
      <c r="A29" s="5" t="s">
        <v>72</v>
      </c>
      <c r="B29" s="4" t="n">
        <v>1.2</v>
      </c>
      <c r="C29" s="7" t="n">
        <f aca="false">B29-$B$3</f>
        <v>1.529</v>
      </c>
      <c r="D29" s="8" t="str">
        <f aca="false">IF(C29&lt;=$C$12,"toujours immergé",IF(C29&lt;=$C$11,"immergé au niveau moyen 2050",IF(C29&lt;=$C$10,"atteint à la PHMA 2050",IF(C29&lt;=$C$17,"atteint par le niveau 5 ans",IF(C29&lt;=$C$18,"atteint par le niveau 10 ans",IF(C29&lt;=$C$19,"atteint par le niveau 20 ans",IF(C29&lt;=$C$20,"atteint par le niveau 50 ans",IF(C29&lt;=$C$21,"atteint par le niveau le plus élevé","hors d'eau statique"))))))))</f>
        <v>atteint par le niveau 10 ans</v>
      </c>
      <c r="E29" s="5"/>
    </row>
    <row r="30" customFormat="false" ht="15" hidden="false" customHeight="false" outlineLevel="0" collapsed="false">
      <c r="A30" s="5" t="s">
        <v>73</v>
      </c>
      <c r="B30" s="4" t="n">
        <v>1.16</v>
      </c>
      <c r="C30" s="7" t="n">
        <f aca="false">B30-$B$3</f>
        <v>1.489</v>
      </c>
      <c r="D30" s="8" t="str">
        <f aca="false">IF(C30&lt;=$C$12,"toujours immergé",IF(C30&lt;=$C$11,"immergé au niveau moyen 2050",IF(C30&lt;=$C$10,"atteint à la PHMA 2050",IF(C30&lt;=$C$17,"atteint par le niveau 5 ans",IF(C30&lt;=$C$18,"atteint par le niveau 10 ans",IF(C30&lt;=$C$19,"atteint par le niveau 20 ans",IF(C30&lt;=$C$20,"atteint par le niveau 50 ans",IF(C30&lt;=$C$21,"atteint par le niveau le plus élevé","hors d'eau statique"))))))))</f>
        <v>atteint par le niveau 10 ans</v>
      </c>
      <c r="E30" s="5" t="s">
        <v>74</v>
      </c>
    </row>
    <row r="31" customFormat="false" ht="15" hidden="false" customHeight="false" outlineLevel="0" collapsed="false">
      <c r="A31" s="5" t="s">
        <v>75</v>
      </c>
      <c r="B31" s="4" t="n">
        <v>1.09</v>
      </c>
      <c r="C31" s="7" t="n">
        <f aca="false">B31-$B$3</f>
        <v>1.419</v>
      </c>
      <c r="D31" s="8" t="str">
        <f aca="false">IF(C31&lt;=$C$12,"toujours immergé",IF(C31&lt;=$C$11,"immergé au niveau moyen 2050",IF(C31&lt;=$C$10,"atteint à la PHMA 2050",IF(C31&lt;=$C$17,"atteint par le niveau 5 ans",IF(C31&lt;=$C$18,"atteint par le niveau 10 ans",IF(C31&lt;=$C$19,"atteint par le niveau 20 ans",IF(C31&lt;=$C$20,"atteint par le niveau 50 ans",IF(C31&lt;=$C$21,"atteint par le niveau le plus élevé","hors d'eau statique"))))))))</f>
        <v>atteint par le niveau 5 ans</v>
      </c>
      <c r="E31" s="5" t="s">
        <v>76</v>
      </c>
    </row>
    <row r="32" customFormat="false" ht="15" hidden="false" customHeight="false" outlineLevel="0" collapsed="false">
      <c r="A32" s="5" t="s">
        <v>77</v>
      </c>
      <c r="B32" s="4" t="n">
        <v>0.69</v>
      </c>
      <c r="C32" s="7" t="n">
        <f aca="false">B32-$B$3</f>
        <v>1.019</v>
      </c>
      <c r="D32" s="8" t="str">
        <f aca="false">IF(C32&lt;=$C$12,"toujours immergé",IF(C32&lt;=$C$11,"immergé au niveau moyen 2050",IF(C32&lt;=$C$10,"atteint à la PHMA 2050",IF(C32&lt;=$C$17,"atteint par le niveau 5 ans",IF(C32&lt;=$C$18,"atteint par le niveau 10 ans",IF(C32&lt;=$C$19,"atteint par le niveau 20 ans",IF(C32&lt;=$C$20,"atteint par le niveau 50 ans",IF(C32&lt;=$C$21,"atteint par le niveau le plus élevé","hors d'eau statique"))))))))</f>
        <v>atteint par le niveau 5 ans</v>
      </c>
      <c r="E32" s="5" t="s">
        <v>76</v>
      </c>
    </row>
    <row r="33" customFormat="false" ht="15" hidden="false" customHeight="false" outlineLevel="0" collapsed="false">
      <c r="A33" s="5" t="s">
        <v>78</v>
      </c>
      <c r="B33" s="4" t="n">
        <v>-0.61</v>
      </c>
      <c r="C33" s="7" t="n">
        <f aca="false">B33-$B$3</f>
        <v>-0.281</v>
      </c>
      <c r="D33" s="8" t="str">
        <f aca="false">IF(C33&lt;=$C$12,"toujours immergé",IF(C33&lt;=$C$11,"immergé au niveau moyen 2050",IF(C33&lt;=$C$10,"atteint à la PHMA 2050",IF(C33&lt;=$C$17,"atteint par le niveau 5 ans",IF(C33&lt;=$C$18,"atteint par le niveau 10 ans",IF(C33&lt;=$C$19,"atteint par le niveau 20 ans",IF(C33&lt;=$C$20,"atteint par le niveau 50 ans",IF(C33&lt;=$C$21,"atteint par le niveau le plus élevé","hors d'eau statique"))))))))</f>
        <v>toujours immergé</v>
      </c>
      <c r="E33" s="5" t="s">
        <v>79</v>
      </c>
    </row>
    <row r="34" customFormat="false" ht="15" hidden="false" customHeight="false" outlineLevel="0" collapsed="false">
      <c r="A34" s="5" t="s">
        <v>80</v>
      </c>
      <c r="B34" s="4" t="n">
        <v>-0.81</v>
      </c>
      <c r="C34" s="7" t="n">
        <f aca="false">B34-$B$3</f>
        <v>-0.481</v>
      </c>
      <c r="D34" s="8" t="str">
        <f aca="false">IF(C34&lt;=$C$12,"toujours immergé",IF(C34&lt;=$C$11,"immergé au niveau moyen 2050",IF(C34&lt;=$C$10,"atteint à la PHMA 2050",IF(C34&lt;=$C$17,"atteint par le niveau 5 ans",IF(C34&lt;=$C$18,"atteint par le niveau 10 ans",IF(C34&lt;=$C$19,"atteint par le niveau 20 ans",IF(C34&lt;=$C$20,"atteint par le niveau 50 ans",IF(C34&lt;=$C$21,"atteint par le niveau le plus élevé","hors d'eau statique"))))))))</f>
        <v>toujours immergé</v>
      </c>
      <c r="E34" s="5" t="s">
        <v>81</v>
      </c>
    </row>
    <row r="35" customFormat="false" ht="15" hidden="false" customHeight="false" outlineLevel="0" collapsed="false">
      <c r="A35" s="5" t="s">
        <v>82</v>
      </c>
      <c r="B35" s="4" t="n">
        <v>-3.21</v>
      </c>
      <c r="C35" s="7" t="n">
        <f aca="false">B35-$B$3</f>
        <v>-2.881</v>
      </c>
      <c r="D35" s="8" t="str">
        <f aca="false">IF(C35&lt;=$C$12,"toujours immergé",IF(C35&lt;=$C$11,"immergé au niveau moyen 2050",IF(C35&lt;=$C$10,"atteint à la PHMA 2050",IF(C35&lt;=$C$17,"atteint par le niveau 5 ans",IF(C35&lt;=$C$18,"atteint par le niveau 10 ans",IF(C35&lt;=$C$19,"atteint par le niveau 20 ans",IF(C35&lt;=$C$20,"atteint par le niveau 50 ans",IF(C35&lt;=$C$21,"atteint par le niveau le plus élevé","hors d'eau statique"))))))))</f>
        <v>toujours immergé</v>
      </c>
      <c r="E35" s="5" t="s">
        <v>79</v>
      </c>
    </row>
    <row r="36" customFormat="false" ht="15" hidden="false" customHeight="false" outlineLevel="0" collapsed="false">
      <c r="A36" s="5" t="s">
        <v>83</v>
      </c>
      <c r="B36" s="4" t="n">
        <v>-3.41</v>
      </c>
      <c r="C36" s="7" t="n">
        <f aca="false">B36-$B$3</f>
        <v>-3.081</v>
      </c>
      <c r="D36" s="8" t="str">
        <f aca="false">IF(C36&lt;=$C$12,"toujours immergé",IF(C36&lt;=$C$11,"immergé au niveau moyen 2050",IF(C36&lt;=$C$10,"atteint à la PHMA 2050",IF(C36&lt;=$C$17,"atteint par le niveau 5 ans",IF(C36&lt;=$C$18,"atteint par le niveau 10 ans",IF(C36&lt;=$C$19,"atteint par le niveau 20 ans",IF(C36&lt;=$C$20,"atteint par le niveau 50 ans",IF(C36&lt;=$C$21,"atteint par le niveau le plus élevé","hors d'eau statique"))))))))</f>
        <v>toujours immergé</v>
      </c>
      <c r="E36" s="5" t="s">
        <v>81</v>
      </c>
    </row>
    <row r="38" customFormat="false" ht="30" hidden="false" customHeight="true" outlineLevel="0" collapsed="false">
      <c r="A38" s="10" t="s">
        <v>84</v>
      </c>
      <c r="B38" s="10"/>
      <c r="C38" s="10"/>
      <c r="D38" s="10"/>
      <c r="E38" s="10"/>
      <c r="F38" s="10"/>
    </row>
    <row r="39" customFormat="false" ht="30" hidden="false" customHeight="true" outlineLevel="0" collapsed="false">
      <c r="A39" s="10" t="s">
        <v>85</v>
      </c>
      <c r="B39" s="10"/>
      <c r="C39" s="10"/>
      <c r="D39" s="10"/>
      <c r="E39" s="10"/>
      <c r="F39" s="10"/>
    </row>
  </sheetData>
  <mergeCells count="2">
    <mergeCell ref="A38:F38"/>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5" min="3" style="0" width="10"/>
    <col collapsed="false" customWidth="true" hidden="false" outlineLevel="0" max="6" min="6" style="0" width="70"/>
  </cols>
  <sheetData>
    <row r="1" customFormat="false" ht="15" hidden="false" customHeight="false" outlineLevel="0" collapsed="false">
      <c r="A1" s="1" t="s">
        <v>86</v>
      </c>
    </row>
    <row r="2" customFormat="false" ht="15" hidden="false" customHeight="false" outlineLevel="0" collapsed="false">
      <c r="A2" s="2" t="s">
        <v>87</v>
      </c>
    </row>
    <row r="4" customFormat="false" ht="15" hidden="false" customHeight="false" outlineLevel="0" collapsed="false">
      <c r="A4" s="6" t="s">
        <v>88</v>
      </c>
      <c r="B4" s="6" t="s">
        <v>89</v>
      </c>
      <c r="C4" s="6" t="s">
        <v>90</v>
      </c>
      <c r="D4" s="6" t="s">
        <v>91</v>
      </c>
      <c r="E4" s="6" t="s">
        <v>92</v>
      </c>
      <c r="F4" s="6" t="s">
        <v>93</v>
      </c>
    </row>
    <row r="5" customFormat="false" ht="15" hidden="false" customHeight="false" outlineLevel="0" collapsed="false">
      <c r="A5" s="5" t="s">
        <v>94</v>
      </c>
      <c r="B5" s="11" t="n">
        <v>0.25</v>
      </c>
      <c r="C5" s="11" t="n">
        <v>0.64</v>
      </c>
      <c r="D5" s="11" t="n">
        <v>0.85</v>
      </c>
      <c r="E5" s="12" t="n">
        <f aca="false">D5*E7/D7</f>
        <v>1.12674418604651</v>
      </c>
      <c r="F5" s="8" t="s">
        <v>95</v>
      </c>
    </row>
    <row r="6" customFormat="false" ht="15" hidden="false" customHeight="false" outlineLevel="0" collapsed="false">
      <c r="A6" s="5" t="s">
        <v>96</v>
      </c>
      <c r="B6" s="11" t="n">
        <v>7.1</v>
      </c>
      <c r="C6" s="11" t="n">
        <v>10.3</v>
      </c>
      <c r="D6" s="11" t="n">
        <v>11.5</v>
      </c>
      <c r="E6" s="13"/>
      <c r="F6" s="5" t="s">
        <v>97</v>
      </c>
    </row>
    <row r="7" customFormat="false" ht="15" hidden="false" customHeight="false" outlineLevel="0" collapsed="false">
      <c r="A7" s="5" t="s">
        <v>98</v>
      </c>
      <c r="B7" s="11" t="n">
        <v>2.3</v>
      </c>
      <c r="C7" s="11" t="n">
        <v>6.4</v>
      </c>
      <c r="D7" s="11" t="n">
        <v>8.6</v>
      </c>
      <c r="E7" s="11" t="n">
        <v>11.4</v>
      </c>
      <c r="F7" s="8" t="s">
        <v>99</v>
      </c>
    </row>
    <row r="9" customFormat="false" ht="15" hidden="false" customHeight="false" outlineLevel="0" collapsed="false">
      <c r="A9" s="2"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8"/>
    <col collapsed="false" customWidth="true" hidden="false" outlineLevel="0" max="3" min="3" style="0" width="11"/>
    <col collapsed="false" customWidth="true" hidden="false" outlineLevel="0" max="4" min="4" style="0" width="8"/>
    <col collapsed="false" customWidth="true" hidden="false" outlineLevel="0" max="5" min="5" style="0" width="10"/>
    <col collapsed="false" customWidth="true" hidden="false" outlineLevel="0" max="6" min="6" style="0" width="7"/>
    <col collapsed="false" customWidth="true" hidden="false" outlineLevel="0" max="7" min="7" style="0" width="9"/>
    <col collapsed="false" customWidth="true" hidden="false" outlineLevel="0" max="8" min="8" style="0" width="11"/>
    <col collapsed="false" customWidth="true" hidden="false" outlineLevel="0" max="11" min="9" style="0" width="10"/>
    <col collapsed="false" customWidth="true" hidden="false" outlineLevel="0" max="13" min="12" style="0" width="11"/>
    <col collapsed="false" customWidth="true" hidden="false" outlineLevel="0" max="14" min="14" style="0" width="12"/>
    <col collapsed="false" customWidth="true" hidden="false" outlineLevel="0" max="15" min="15" style="0" width="18"/>
  </cols>
  <sheetData>
    <row r="1" customFormat="false" ht="15" hidden="false" customHeight="false" outlineLevel="0" collapsed="false">
      <c r="A1" s="1" t="s">
        <v>101</v>
      </c>
    </row>
    <row r="2" customFormat="false" ht="15" hidden="false" customHeight="false" outlineLevel="0" collapsed="false">
      <c r="A2" s="2" t="s">
        <v>102</v>
      </c>
    </row>
    <row r="4" customFormat="false" ht="15" hidden="false" customHeight="false" outlineLevel="0" collapsed="false">
      <c r="A4" s="6" t="s">
        <v>103</v>
      </c>
      <c r="B4" s="6" t="s">
        <v>104</v>
      </c>
      <c r="C4" s="6" t="s">
        <v>105</v>
      </c>
      <c r="D4" s="6" t="s">
        <v>9</v>
      </c>
    </row>
    <row r="5" customFormat="false" ht="15" hidden="false" customHeight="false" outlineLevel="0" collapsed="false">
      <c r="A5" s="5" t="s">
        <v>106</v>
      </c>
      <c r="B5" s="4" t="n">
        <v>10.05</v>
      </c>
      <c r="C5" s="5" t="s">
        <v>107</v>
      </c>
      <c r="D5" s="5" t="s">
        <v>108</v>
      </c>
    </row>
    <row r="6" customFormat="false" ht="15" hidden="false" customHeight="false" outlineLevel="0" collapsed="false">
      <c r="A6" s="5" t="s">
        <v>109</v>
      </c>
      <c r="B6" s="4" t="n">
        <v>1.8</v>
      </c>
      <c r="C6" s="5" t="s">
        <v>110</v>
      </c>
      <c r="D6" s="5" t="s">
        <v>111</v>
      </c>
    </row>
    <row r="7" customFormat="false" ht="15" hidden="false" customHeight="false" outlineLevel="0" collapsed="false">
      <c r="A7" s="5" t="s">
        <v>112</v>
      </c>
      <c r="B7" s="4" t="n">
        <v>0.78</v>
      </c>
      <c r="C7" s="5" t="s">
        <v>110</v>
      </c>
      <c r="D7" s="5" t="s">
        <v>113</v>
      </c>
    </row>
    <row r="8" customFormat="false" ht="15" hidden="false" customHeight="false" outlineLevel="0" collapsed="false">
      <c r="A8" s="5" t="s">
        <v>114</v>
      </c>
      <c r="B8" s="4" t="n">
        <v>0.75</v>
      </c>
      <c r="C8" s="5" t="s">
        <v>110</v>
      </c>
      <c r="D8" s="5" t="s">
        <v>115</v>
      </c>
    </row>
    <row r="9" customFormat="false" ht="15" hidden="false" customHeight="false" outlineLevel="0" collapsed="false">
      <c r="A9" s="5" t="s">
        <v>116</v>
      </c>
      <c r="B9" s="4" t="n">
        <v>0.4</v>
      </c>
      <c r="C9" s="5" t="s">
        <v>117</v>
      </c>
      <c r="D9" s="5" t="s">
        <v>118</v>
      </c>
    </row>
    <row r="10" customFormat="false" ht="15" hidden="false" customHeight="false" outlineLevel="0" collapsed="false">
      <c r="A10" s="5" t="s">
        <v>119</v>
      </c>
      <c r="B10" s="4" t="n">
        <v>0.2</v>
      </c>
      <c r="C10" s="5" t="s">
        <v>117</v>
      </c>
      <c r="D10" s="5" t="s">
        <v>120</v>
      </c>
    </row>
    <row r="11" customFormat="false" ht="15" hidden="false" customHeight="false" outlineLevel="0" collapsed="false">
      <c r="A11" s="5" t="s">
        <v>121</v>
      </c>
      <c r="B11" s="7" t="n">
        <f aca="false">(2-B9-B10)*(1-0.008/0.153)</f>
        <v>1.32679738562092</v>
      </c>
      <c r="C11" s="5" t="s">
        <v>117</v>
      </c>
      <c r="D11" s="5" t="s">
        <v>122</v>
      </c>
    </row>
    <row r="12" customFormat="false" ht="15" hidden="false" customHeight="false" outlineLevel="0" collapsed="false">
      <c r="A12" s="5" t="s">
        <v>123</v>
      </c>
      <c r="B12" s="7" t="n">
        <f aca="false">2*(1-0.008/0.153)</f>
        <v>1.89542483660131</v>
      </c>
      <c r="C12" s="5" t="s">
        <v>117</v>
      </c>
      <c r="D12" s="5"/>
    </row>
    <row r="14" customFormat="false" ht="35.05" hidden="false" customHeight="false" outlineLevel="0" collapsed="false">
      <c r="A14" s="6" t="s">
        <v>124</v>
      </c>
      <c r="B14" s="6" t="s">
        <v>125</v>
      </c>
      <c r="C14" s="6" t="s">
        <v>126</v>
      </c>
      <c r="D14" s="6" t="s">
        <v>127</v>
      </c>
      <c r="E14" s="6" t="s">
        <v>128</v>
      </c>
      <c r="F14" s="6" t="s">
        <v>129</v>
      </c>
      <c r="G14" s="6" t="s">
        <v>130</v>
      </c>
      <c r="H14" s="6" t="s">
        <v>131</v>
      </c>
      <c r="I14" s="6" t="s">
        <v>132</v>
      </c>
      <c r="J14" s="6" t="s">
        <v>133</v>
      </c>
      <c r="K14" s="6" t="s">
        <v>134</v>
      </c>
      <c r="L14" s="6" t="s">
        <v>135</v>
      </c>
      <c r="M14" s="6" t="s">
        <v>136</v>
      </c>
      <c r="N14" s="6" t="s">
        <v>137</v>
      </c>
      <c r="O14" s="6" t="s">
        <v>138</v>
      </c>
    </row>
    <row r="15" customFormat="false" ht="27.75" hidden="false" customHeight="true" outlineLevel="0" collapsed="false">
      <c r="A15" s="8" t="s">
        <v>139</v>
      </c>
      <c r="B15" s="5" t="s">
        <v>140</v>
      </c>
      <c r="C15" s="7" t="n">
        <f aca="false">'Niveaux d''eau'!$D$11</f>
        <v>0.361</v>
      </c>
      <c r="D15" s="12" t="n">
        <f aca="false">Houle!$B$5</f>
        <v>0.25</v>
      </c>
      <c r="E15" s="12" t="n">
        <f aca="false">'Niveaux d''eau'!$B$34</f>
        <v>-0.81</v>
      </c>
      <c r="F15" s="12" t="n">
        <f aca="false">C15-E15</f>
        <v>1.171</v>
      </c>
      <c r="G15" s="12" t="n">
        <f aca="false">MIN($B$6*D15,$B$7*F15)</f>
        <v>0.45</v>
      </c>
      <c r="H15" s="7" t="n">
        <f aca="false">C15+$B$8*G15</f>
        <v>0.6985</v>
      </c>
      <c r="I15" s="12" t="n">
        <f aca="false">$B$5*MAX(0,H15-'Niveaux d''eau'!$B$29)</f>
        <v>0</v>
      </c>
      <c r="J15" s="12" t="n">
        <f aca="false">$B$5*MAX(0,H15-'Niveaux d''eau'!$B$28)</f>
        <v>0</v>
      </c>
      <c r="K15" s="12" t="n">
        <f aca="false">$B$5*MAX(0,H15-'Niveaux d''eau'!$B$27)</f>
        <v>0</v>
      </c>
      <c r="L15" s="12" t="n">
        <f aca="false">I15*$B$9+J15*$B$10+K15*$B$11</f>
        <v>0</v>
      </c>
      <c r="M15" s="12" t="n">
        <f aca="false">L15/2</f>
        <v>0</v>
      </c>
      <c r="N15" s="12" t="n">
        <f aca="false">$B$5*MAX(0,H15-'Niveaux d''eau'!$B$26)</f>
        <v>0</v>
      </c>
      <c r="O15" s="5" t="s">
        <v>141</v>
      </c>
    </row>
    <row r="16" customFormat="false" ht="27.75" hidden="false" customHeight="true" outlineLevel="0" collapsed="false">
      <c r="A16" s="8" t="s">
        <v>139</v>
      </c>
      <c r="B16" s="5" t="s">
        <v>142</v>
      </c>
      <c r="C16" s="7" t="n">
        <f aca="false">'Niveaux d''eau'!$D$11</f>
        <v>0.361</v>
      </c>
      <c r="D16" s="12" t="n">
        <f aca="false">Houle!$B$5</f>
        <v>0.25</v>
      </c>
      <c r="E16" s="12" t="n">
        <f aca="false">'Niveaux d''eau'!$B$36</f>
        <v>-3.41</v>
      </c>
      <c r="F16" s="12" t="n">
        <f aca="false">C16-E16</f>
        <v>3.771</v>
      </c>
      <c r="G16" s="12" t="n">
        <f aca="false">MIN($B$6*D16,$B$7*F16)</f>
        <v>0.45</v>
      </c>
      <c r="H16" s="7" t="n">
        <f aca="false">C16+$B$8*G16</f>
        <v>0.6985</v>
      </c>
      <c r="I16" s="12" t="n">
        <f aca="false">$B$5*MAX(0,H16-'Niveaux d''eau'!$B$29)</f>
        <v>0</v>
      </c>
      <c r="J16" s="12" t="n">
        <f aca="false">$B$5*MAX(0,H16-'Niveaux d''eau'!$B$28)</f>
        <v>0</v>
      </c>
      <c r="K16" s="12" t="n">
        <f aca="false">$B$5*MAX(0,H16-'Niveaux d''eau'!$B$27)</f>
        <v>0</v>
      </c>
      <c r="L16" s="12" t="n">
        <f aca="false">I16*$B$9+J16*$B$10+K16*$B$11</f>
        <v>0</v>
      </c>
      <c r="M16" s="12" t="n">
        <f aca="false">L16/2</f>
        <v>0</v>
      </c>
      <c r="N16" s="12" t="n">
        <f aca="false">$B$5*MAX(0,H16-'Niveaux d''eau'!$B$26)</f>
        <v>0</v>
      </c>
      <c r="O16" s="5" t="s">
        <v>141</v>
      </c>
    </row>
    <row r="17" customFormat="false" ht="27.75" hidden="false" customHeight="true" outlineLevel="0" collapsed="false">
      <c r="A17" s="8" t="s">
        <v>143</v>
      </c>
      <c r="B17" s="5" t="s">
        <v>140</v>
      </c>
      <c r="C17" s="7" t="n">
        <f aca="false">'Niveaux d''eau'!$D$10</f>
        <v>0.571</v>
      </c>
      <c r="D17" s="12" t="n">
        <f aca="false">Houle!$C$5</f>
        <v>0.64</v>
      </c>
      <c r="E17" s="12" t="n">
        <f aca="false">'Niveaux d''eau'!$B$34</f>
        <v>-0.81</v>
      </c>
      <c r="F17" s="12" t="n">
        <f aca="false">C17-E17</f>
        <v>1.381</v>
      </c>
      <c r="G17" s="12" t="n">
        <f aca="false">MIN($B$6*D17,$B$7*F17)</f>
        <v>1.07718</v>
      </c>
      <c r="H17" s="7" t="n">
        <f aca="false">C17+$B$8*G17</f>
        <v>1.378885</v>
      </c>
      <c r="I17" s="12" t="n">
        <f aca="false">$B$5*MAX(0,H17-'Niveaux d''eau'!$B$29)</f>
        <v>1.79779425</v>
      </c>
      <c r="J17" s="12" t="n">
        <f aca="false">$B$5*MAX(0,H17-'Niveaux d''eau'!$B$28)</f>
        <v>0.290294249999998</v>
      </c>
      <c r="K17" s="12" t="n">
        <f aca="false">$B$5*MAX(0,H17-'Niveaux d''eau'!$B$27)</f>
        <v>0</v>
      </c>
      <c r="L17" s="12" t="n">
        <f aca="false">I17*$B$9+J17*$B$10+K17*$B$11</f>
        <v>0.77717655</v>
      </c>
      <c r="M17" s="12" t="n">
        <f aca="false">L17/2</f>
        <v>0.388588275</v>
      </c>
      <c r="N17" s="12" t="n">
        <f aca="false">$B$5*MAX(0,H17-'Niveaux d''eau'!$B$26)</f>
        <v>0</v>
      </c>
      <c r="O17" s="5" t="s">
        <v>144</v>
      </c>
    </row>
    <row r="18" customFormat="false" ht="27.75" hidden="false" customHeight="true" outlineLevel="0" collapsed="false">
      <c r="A18" s="8" t="s">
        <v>143</v>
      </c>
      <c r="B18" s="5" t="s">
        <v>142</v>
      </c>
      <c r="C18" s="7" t="n">
        <f aca="false">'Niveaux d''eau'!$D$10</f>
        <v>0.571</v>
      </c>
      <c r="D18" s="12" t="n">
        <f aca="false">Houle!$C$5</f>
        <v>0.64</v>
      </c>
      <c r="E18" s="12" t="n">
        <f aca="false">'Niveaux d''eau'!$B$36</f>
        <v>-3.41</v>
      </c>
      <c r="F18" s="12" t="n">
        <f aca="false">C18-E18</f>
        <v>3.981</v>
      </c>
      <c r="G18" s="12" t="n">
        <f aca="false">MIN($B$6*D18,$B$7*F18)</f>
        <v>1.152</v>
      </c>
      <c r="H18" s="7" t="n">
        <f aca="false">C18+$B$8*G18</f>
        <v>1.435</v>
      </c>
      <c r="I18" s="12" t="n">
        <f aca="false">$B$5*MAX(0,H18-'Niveaux d''eau'!$B$29)</f>
        <v>2.36175</v>
      </c>
      <c r="J18" s="12" t="n">
        <f aca="false">$B$5*MAX(0,H18-'Niveaux d''eau'!$B$28)</f>
        <v>0.85425</v>
      </c>
      <c r="K18" s="12" t="n">
        <f aca="false">$B$5*MAX(0,H18-'Niveaux d''eau'!$B$27)</f>
        <v>0.351750000000001</v>
      </c>
      <c r="L18" s="12" t="n">
        <f aca="false">I18*$B$9+J18*$B$10+K18*$B$11</f>
        <v>1.58225098039216</v>
      </c>
      <c r="M18" s="12" t="n">
        <f aca="false">L18/2</f>
        <v>0.79112549019608</v>
      </c>
      <c r="N18" s="12" t="n">
        <f aca="false">$B$5*MAX(0,H18-'Niveaux d''eau'!$B$26)</f>
        <v>0</v>
      </c>
      <c r="O18" s="5" t="s">
        <v>144</v>
      </c>
    </row>
    <row r="19" customFormat="false" ht="27.75" hidden="false" customHeight="true" outlineLevel="0" collapsed="false">
      <c r="A19" s="8" t="s">
        <v>145</v>
      </c>
      <c r="B19" s="5" t="s">
        <v>140</v>
      </c>
      <c r="C19" s="7" t="n">
        <f aca="false">'Niveaux d''eau'!$D$20</f>
        <v>1.401</v>
      </c>
      <c r="D19" s="12" t="n">
        <f aca="false">Houle!$D$5</f>
        <v>0.85</v>
      </c>
      <c r="E19" s="12" t="n">
        <f aca="false">'Niveaux d''eau'!$B$34</f>
        <v>-0.81</v>
      </c>
      <c r="F19" s="12" t="n">
        <f aca="false">C19-E19</f>
        <v>2.211</v>
      </c>
      <c r="G19" s="12" t="n">
        <f aca="false">MIN($B$6*D19,$B$7*F19)</f>
        <v>1.53</v>
      </c>
      <c r="H19" s="7" t="n">
        <f aca="false">C19+$B$8*G19</f>
        <v>2.5485</v>
      </c>
      <c r="I19" s="12" t="n">
        <f aca="false">$B$5*MAX(0,H19-'Niveaux d''eau'!$B$29)</f>
        <v>13.552425</v>
      </c>
      <c r="J19" s="12" t="n">
        <f aca="false">$B$5*MAX(0,H19-'Niveaux d''eau'!$B$28)</f>
        <v>12.044925</v>
      </c>
      <c r="K19" s="12" t="n">
        <f aca="false">$B$5*MAX(0,H19-'Niveaux d''eau'!$B$27)</f>
        <v>11.542425</v>
      </c>
      <c r="L19" s="12" t="n">
        <f aca="false">I19*$B$9+J19*$B$10+K19*$B$11</f>
        <v>23.1444143137255</v>
      </c>
      <c r="M19" s="12" t="n">
        <f aca="false">L19/2</f>
        <v>11.5722071568627</v>
      </c>
      <c r="N19" s="12" t="n">
        <f aca="false">$B$5*MAX(0,H19-'Niveaux d''eau'!$B$26)</f>
        <v>11.090175</v>
      </c>
      <c r="O19" s="5" t="str">
        <f aca="false">IF(L19&gt;=L21,"caractéristique P1","")</f>
        <v>caractéristique P1</v>
      </c>
    </row>
    <row r="20" customFormat="false" ht="27.75" hidden="false" customHeight="true" outlineLevel="0" collapsed="false">
      <c r="A20" s="8" t="s">
        <v>145</v>
      </c>
      <c r="B20" s="5" t="s">
        <v>142</v>
      </c>
      <c r="C20" s="7" t="n">
        <f aca="false">'Niveaux d''eau'!$D$20</f>
        <v>1.401</v>
      </c>
      <c r="D20" s="12" t="n">
        <f aca="false">Houle!$D$5</f>
        <v>0.85</v>
      </c>
      <c r="E20" s="12" t="n">
        <f aca="false">'Niveaux d''eau'!$B$36</f>
        <v>-3.41</v>
      </c>
      <c r="F20" s="12" t="n">
        <f aca="false">C20-E20</f>
        <v>4.811</v>
      </c>
      <c r="G20" s="12" t="n">
        <f aca="false">MIN($B$6*D20,$B$7*F20)</f>
        <v>1.53</v>
      </c>
      <c r="H20" s="7" t="n">
        <f aca="false">C20+$B$8*G20</f>
        <v>2.5485</v>
      </c>
      <c r="I20" s="12" t="n">
        <f aca="false">$B$5*MAX(0,H20-'Niveaux d''eau'!$B$29)</f>
        <v>13.552425</v>
      </c>
      <c r="J20" s="12" t="n">
        <f aca="false">$B$5*MAX(0,H20-'Niveaux d''eau'!$B$28)</f>
        <v>12.044925</v>
      </c>
      <c r="K20" s="12" t="n">
        <f aca="false">$B$5*MAX(0,H20-'Niveaux d''eau'!$B$27)</f>
        <v>11.542425</v>
      </c>
      <c r="L20" s="12" t="n">
        <f aca="false">I20*$B$9+J20*$B$10+K20*$B$11</f>
        <v>23.1444143137255</v>
      </c>
      <c r="M20" s="12" t="n">
        <f aca="false">L20/2</f>
        <v>11.5722071568627</v>
      </c>
      <c r="N20" s="12" t="n">
        <f aca="false">$B$5*MAX(0,H20-'Niveaux d''eau'!$B$26)</f>
        <v>11.090175</v>
      </c>
      <c r="O20" s="5" t="str">
        <f aca="false">IF(L20&gt;=L22,"caractéristique P5","")</f>
        <v/>
      </c>
    </row>
    <row r="21" customFormat="false" ht="27.75" hidden="false" customHeight="true" outlineLevel="0" collapsed="false">
      <c r="A21" s="8" t="s">
        <v>146</v>
      </c>
      <c r="B21" s="5" t="s">
        <v>140</v>
      </c>
      <c r="C21" s="7" t="n">
        <f aca="false">'Niveaux d''eau'!$D$17</f>
        <v>1.121</v>
      </c>
      <c r="D21" s="12" t="n">
        <f aca="false">Houle!$E$5</f>
        <v>1.12674418604651</v>
      </c>
      <c r="E21" s="12" t="n">
        <f aca="false">'Niveaux d''eau'!$B$34</f>
        <v>-0.81</v>
      </c>
      <c r="F21" s="12" t="n">
        <f aca="false">C21-E21</f>
        <v>1.931</v>
      </c>
      <c r="G21" s="12" t="n">
        <f aca="false">MIN($B$6*D21,$B$7*F21)</f>
        <v>1.50618</v>
      </c>
      <c r="H21" s="7" t="n">
        <f aca="false">C21+$B$8*G21</f>
        <v>2.250635</v>
      </c>
      <c r="I21" s="12" t="n">
        <f aca="false">$B$5*MAX(0,H21-'Niveaux d''eau'!$B$29)</f>
        <v>10.55888175</v>
      </c>
      <c r="J21" s="12" t="n">
        <f aca="false">$B$5*MAX(0,H21-'Niveaux d''eau'!$B$28)</f>
        <v>9.05138175</v>
      </c>
      <c r="K21" s="12" t="n">
        <f aca="false">$B$5*MAX(0,H21-'Niveaux d''eau'!$B$27)</f>
        <v>8.54888175</v>
      </c>
      <c r="L21" s="12" t="n">
        <f aca="false">I21*$B$9+J21*$B$10+K21*$B$11</f>
        <v>17.3764630058824</v>
      </c>
      <c r="M21" s="12" t="n">
        <f aca="false">L21/2</f>
        <v>8.68823150294118</v>
      </c>
      <c r="N21" s="12" t="n">
        <f aca="false">$B$5*MAX(0,H21-'Niveaux d''eau'!$B$26)</f>
        <v>8.09663175</v>
      </c>
      <c r="O21" s="5" t="str">
        <f aca="false">IF(L21&gt;=L19,"caractéristique P1","")</f>
        <v/>
      </c>
    </row>
    <row r="22" customFormat="false" ht="27.75" hidden="false" customHeight="true" outlineLevel="0" collapsed="false">
      <c r="A22" s="8" t="s">
        <v>146</v>
      </c>
      <c r="B22" s="5" t="s">
        <v>142</v>
      </c>
      <c r="C22" s="7" t="n">
        <f aca="false">'Niveaux d''eau'!$D$17</f>
        <v>1.121</v>
      </c>
      <c r="D22" s="12" t="n">
        <f aca="false">Houle!$E$5</f>
        <v>1.12674418604651</v>
      </c>
      <c r="E22" s="12" t="n">
        <f aca="false">'Niveaux d''eau'!$B$36</f>
        <v>-3.41</v>
      </c>
      <c r="F22" s="12" t="n">
        <f aca="false">C22-E22</f>
        <v>4.531</v>
      </c>
      <c r="G22" s="12" t="n">
        <f aca="false">MIN($B$6*D22,$B$7*F22)</f>
        <v>2.02813953488372</v>
      </c>
      <c r="H22" s="7" t="n">
        <f aca="false">C22+$B$8*G22</f>
        <v>2.64210465116279</v>
      </c>
      <c r="I22" s="12" t="n">
        <f aca="false">$B$5*MAX(0,H22-'Niveaux d''eau'!$B$29)</f>
        <v>14.4931517441861</v>
      </c>
      <c r="J22" s="12" t="n">
        <f aca="false">$B$5*MAX(0,H22-'Niveaux d''eau'!$B$28)</f>
        <v>12.9856517441861</v>
      </c>
      <c r="K22" s="12" t="n">
        <f aca="false">$B$5*MAX(0,H22-'Niveaux d''eau'!$B$27)</f>
        <v>12.4831517441861</v>
      </c>
      <c r="L22" s="12" t="n">
        <f aca="false">I22*$B$9+J22*$B$10+K22*$B$11</f>
        <v>24.9570041450069</v>
      </c>
      <c r="M22" s="12" t="n">
        <f aca="false">L22/2</f>
        <v>12.4785020725034</v>
      </c>
      <c r="N22" s="12" t="n">
        <f aca="false">$B$5*MAX(0,H22-'Niveaux d''eau'!$B$26)</f>
        <v>12.0309017441861</v>
      </c>
      <c r="O22" s="5" t="str">
        <f aca="false">IF(L22&gt;=L20,"caractéristique P5","")</f>
        <v>caractéristique P5</v>
      </c>
    </row>
    <row r="23" customFormat="false" ht="27.75" hidden="false" customHeight="true" outlineLevel="0" collapsed="false">
      <c r="A23" s="8" t="s">
        <v>147</v>
      </c>
      <c r="B23" s="5" t="s">
        <v>140</v>
      </c>
      <c r="C23" s="7" t="n">
        <f aca="false">'Niveaux d''eau'!$D$21</f>
        <v>1.611</v>
      </c>
      <c r="D23" s="12" t="n">
        <f aca="false">Houle!$D$5</f>
        <v>0.85</v>
      </c>
      <c r="E23" s="12" t="n">
        <f aca="false">'Niveaux d''eau'!$B$34</f>
        <v>-0.81</v>
      </c>
      <c r="F23" s="12" t="n">
        <f aca="false">C23-E23</f>
        <v>2.421</v>
      </c>
      <c r="G23" s="12" t="n">
        <f aca="false">MIN($B$6*D23,$B$7*F23)</f>
        <v>1.53</v>
      </c>
      <c r="H23" s="7" t="n">
        <f aca="false">C23+$B$8*G23</f>
        <v>2.7585</v>
      </c>
      <c r="I23" s="12" t="n">
        <f aca="false">$B$5*MAX(0,H23-'Niveaux d''eau'!$B$29)</f>
        <v>15.662925</v>
      </c>
      <c r="J23" s="12" t="n">
        <f aca="false">$B$5*MAX(0,H23-'Niveaux d''eau'!$B$28)</f>
        <v>14.155425</v>
      </c>
      <c r="K23" s="12" t="n">
        <f aca="false">$B$5*MAX(0,H23-'Niveaux d''eau'!$B$27)</f>
        <v>13.652925</v>
      </c>
      <c r="L23" s="12" t="n">
        <f aca="false">I23*$B$9+J23*$B$10+K23*$B$11</f>
        <v>27.2109201960784</v>
      </c>
      <c r="M23" s="12" t="n">
        <f aca="false">L23/2</f>
        <v>13.6054600980392</v>
      </c>
      <c r="N23" s="12" t="n">
        <f aca="false">$B$5*MAX(0,H23-'Niveaux d''eau'!$B$26)</f>
        <v>13.200675</v>
      </c>
      <c r="O23" s="5" t="s">
        <v>148</v>
      </c>
    </row>
    <row r="24" customFormat="false" ht="27.75" hidden="false" customHeight="true" outlineLevel="0" collapsed="false">
      <c r="A24" s="8" t="s">
        <v>147</v>
      </c>
      <c r="B24" s="5" t="s">
        <v>142</v>
      </c>
      <c r="C24" s="7" t="n">
        <f aca="false">'Niveaux d''eau'!$D$21</f>
        <v>1.611</v>
      </c>
      <c r="D24" s="12" t="n">
        <f aca="false">Houle!$D$5</f>
        <v>0.85</v>
      </c>
      <c r="E24" s="12" t="n">
        <f aca="false">'Niveaux d''eau'!$B$36</f>
        <v>-3.41</v>
      </c>
      <c r="F24" s="12" t="n">
        <f aca="false">C24-E24</f>
        <v>5.021</v>
      </c>
      <c r="G24" s="12" t="n">
        <f aca="false">MIN($B$6*D24,$B$7*F24)</f>
        <v>1.53</v>
      </c>
      <c r="H24" s="7" t="n">
        <f aca="false">C24+$B$8*G24</f>
        <v>2.7585</v>
      </c>
      <c r="I24" s="12" t="n">
        <f aca="false">$B$5*MAX(0,H24-'Niveaux d''eau'!$B$29)</f>
        <v>15.662925</v>
      </c>
      <c r="J24" s="12" t="n">
        <f aca="false">$B$5*MAX(0,H24-'Niveaux d''eau'!$B$28)</f>
        <v>14.155425</v>
      </c>
      <c r="K24" s="12" t="n">
        <f aca="false">$B$5*MAX(0,H24-'Niveaux d''eau'!$B$27)</f>
        <v>13.652925</v>
      </c>
      <c r="L24" s="12" t="n">
        <f aca="false">I24*$B$9+J24*$B$10+K24*$B$11</f>
        <v>27.2109201960784</v>
      </c>
      <c r="M24" s="12" t="n">
        <f aca="false">L24/2</f>
        <v>13.6054600980392</v>
      </c>
      <c r="N24" s="12" t="n">
        <f aca="false">$B$5*MAX(0,H24-'Niveaux d''eau'!$B$26)</f>
        <v>13.200675</v>
      </c>
      <c r="O24" s="5" t="s">
        <v>148</v>
      </c>
    </row>
    <row r="26" customFormat="false" ht="15" hidden="false" customHeight="false" outlineLevel="0" collapsed="false">
      <c r="A26" s="9" t="s">
        <v>149</v>
      </c>
    </row>
    <row r="27" customFormat="false" ht="23.85" hidden="false" customHeight="false" outlineLevel="0" collapsed="false">
      <c r="A27" s="6" t="s">
        <v>150</v>
      </c>
      <c r="B27" s="6" t="s">
        <v>125</v>
      </c>
      <c r="C27" s="6" t="s">
        <v>151</v>
      </c>
      <c r="D27" s="6" t="s">
        <v>152</v>
      </c>
      <c r="E27" s="6" t="s">
        <v>153</v>
      </c>
      <c r="F27" s="6" t="s">
        <v>154</v>
      </c>
      <c r="G27" s="6" t="s">
        <v>136</v>
      </c>
      <c r="H27" s="6" t="s">
        <v>155</v>
      </c>
    </row>
    <row r="28" customFormat="false" ht="15" hidden="false" customHeight="false" outlineLevel="0" collapsed="false">
      <c r="A28" s="5" t="s">
        <v>156</v>
      </c>
      <c r="B28" s="5" t="s">
        <v>157</v>
      </c>
      <c r="C28" s="12" t="n">
        <f aca="false">I19</f>
        <v>13.552425</v>
      </c>
      <c r="D28" s="12" t="n">
        <f aca="false">J19</f>
        <v>12.044925</v>
      </c>
      <c r="E28" s="12" t="n">
        <f aca="false">K19</f>
        <v>11.542425</v>
      </c>
      <c r="F28" s="12" t="n">
        <f aca="false">N19</f>
        <v>11.090175</v>
      </c>
      <c r="G28" s="12" t="n">
        <f aca="false">M19</f>
        <v>11.5722071568627</v>
      </c>
      <c r="H28" s="5" t="s">
        <v>158</v>
      </c>
    </row>
    <row r="29" customFormat="false" ht="15" hidden="false" customHeight="false" outlineLevel="0" collapsed="false">
      <c r="A29" s="5" t="s">
        <v>156</v>
      </c>
      <c r="B29" s="5" t="s">
        <v>159</v>
      </c>
      <c r="C29" s="12" t="n">
        <f aca="false">I22</f>
        <v>14.4931517441861</v>
      </c>
      <c r="D29" s="12" t="n">
        <f aca="false">J22</f>
        <v>12.9856517441861</v>
      </c>
      <c r="E29" s="12" t="n">
        <f aca="false">K22</f>
        <v>12.4831517441861</v>
      </c>
      <c r="F29" s="12" t="n">
        <f aca="false">N22</f>
        <v>12.0309017441861</v>
      </c>
      <c r="G29" s="12" t="n">
        <f aca="false">M22</f>
        <v>12.4785020725034</v>
      </c>
      <c r="H29" s="5" t="s">
        <v>158</v>
      </c>
    </row>
    <row r="30" customFormat="false" ht="15" hidden="false" customHeight="false" outlineLevel="0" collapsed="false">
      <c r="A30" s="5" t="s">
        <v>160</v>
      </c>
      <c r="B30" s="5" t="s">
        <v>157</v>
      </c>
      <c r="C30" s="12" t="n">
        <f aca="false">I17</f>
        <v>1.79779425</v>
      </c>
      <c r="D30" s="12" t="n">
        <f aca="false">J17</f>
        <v>0.290294249999998</v>
      </c>
      <c r="E30" s="12" t="n">
        <f aca="false">K17</f>
        <v>0</v>
      </c>
      <c r="F30" s="12" t="n">
        <v>0</v>
      </c>
      <c r="G30" s="12" t="n">
        <f aca="false">M17</f>
        <v>0.388588275</v>
      </c>
      <c r="H30" s="5" t="s">
        <v>161</v>
      </c>
    </row>
    <row r="31" customFormat="false" ht="15" hidden="false" customHeight="false" outlineLevel="0" collapsed="false">
      <c r="A31" s="5" t="s">
        <v>160</v>
      </c>
      <c r="B31" s="5" t="s">
        <v>159</v>
      </c>
      <c r="C31" s="12" t="n">
        <f aca="false">I18</f>
        <v>2.36175</v>
      </c>
      <c r="D31" s="12" t="n">
        <f aca="false">J18</f>
        <v>0.85425</v>
      </c>
      <c r="E31" s="12" t="n">
        <f aca="false">K18</f>
        <v>0.351750000000001</v>
      </c>
      <c r="F31" s="12" t="n">
        <v>0</v>
      </c>
      <c r="G31" s="12" t="n">
        <f aca="false">M18</f>
        <v>0.79112549019608</v>
      </c>
      <c r="H31" s="5" t="s">
        <v>161</v>
      </c>
    </row>
    <row r="32" customFormat="false" ht="15" hidden="false" customHeight="false" outlineLevel="0" collapsed="false">
      <c r="A32" s="5" t="s">
        <v>162</v>
      </c>
      <c r="B32" s="5" t="s">
        <v>163</v>
      </c>
      <c r="C32" s="5" t="n">
        <v>0</v>
      </c>
      <c r="D32" s="5" t="n">
        <v>0</v>
      </c>
      <c r="E32" s="5" t="n">
        <v>0</v>
      </c>
      <c r="F32" s="5" t="n">
        <v>0</v>
      </c>
      <c r="G32" s="5" t="n">
        <v>0</v>
      </c>
      <c r="H32" s="5" t="s">
        <v>164</v>
      </c>
    </row>
    <row r="34" customFormat="false" ht="30" hidden="false" customHeight="true" outlineLevel="0" collapsed="false">
      <c r="A34" s="10" t="s">
        <v>165</v>
      </c>
      <c r="B34" s="10"/>
      <c r="C34" s="10"/>
      <c r="D34" s="10"/>
      <c r="E34" s="10"/>
      <c r="F34" s="10"/>
      <c r="G34" s="10"/>
      <c r="H34" s="10"/>
      <c r="I34" s="10"/>
      <c r="J34" s="10"/>
      <c r="K34" s="10"/>
      <c r="L34" s="10"/>
      <c r="M34" s="10"/>
      <c r="N34" s="10"/>
      <c r="O34" s="10"/>
    </row>
    <row r="35" customFormat="false" ht="30" hidden="false" customHeight="true" outlineLevel="0" collapsed="false">
      <c r="A35" s="10" t="s">
        <v>166</v>
      </c>
      <c r="B35" s="10"/>
      <c r="C35" s="10"/>
      <c r="D35" s="10"/>
      <c r="E35" s="10"/>
      <c r="F35" s="10"/>
      <c r="G35" s="10"/>
      <c r="H35" s="10"/>
      <c r="I35" s="10"/>
      <c r="J35" s="10"/>
      <c r="K35" s="10"/>
      <c r="L35" s="10"/>
      <c r="M35" s="10"/>
      <c r="N35" s="10"/>
      <c r="O35" s="10"/>
    </row>
    <row r="36" customFormat="false" ht="30" hidden="false" customHeight="true" outlineLevel="0" collapsed="false">
      <c r="A36" s="10" t="s">
        <v>167</v>
      </c>
      <c r="B36" s="10"/>
      <c r="C36" s="10"/>
      <c r="D36" s="10"/>
      <c r="E36" s="10"/>
      <c r="F36" s="10"/>
      <c r="G36" s="10"/>
      <c r="H36" s="10"/>
      <c r="I36" s="10"/>
      <c r="J36" s="10"/>
      <c r="K36" s="10"/>
      <c r="L36" s="10"/>
      <c r="M36" s="10"/>
      <c r="N36" s="10"/>
      <c r="O36" s="10"/>
    </row>
  </sheetData>
  <mergeCells count="3">
    <mergeCell ref="A34:O34"/>
    <mergeCell ref="A35:O35"/>
    <mergeCell ref="A36:O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2026-10-15T16:09:48Z</dcterms:created>
  <dc:creator>openpyxl</dc:creator>
  <dc:description/>
  <dc:language>en-US</dc:language>
  <cp:lastModifiedBy/>
  <dcterms:modified xsi:type="dcterms:W3CDTF">2026-10-15T16:09:48Z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